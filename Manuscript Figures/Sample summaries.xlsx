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mily/Desktop/GitHub/16S_Florida_Tank_Analysis/Manuscript Figures/"/>
    </mc:Choice>
  </mc:AlternateContent>
  <xr:revisionPtr revIDLastSave="0" documentId="13_ncr:1_{ED167E94-B210-A54E-BC1B-760A90590D36}" xr6:coauthVersionLast="47" xr6:coauthVersionMax="47" xr10:uidLastSave="{00000000-0000-0000-0000-000000000000}"/>
  <bookViews>
    <workbookView xWindow="0" yWindow="500" windowWidth="28800" windowHeight="16340" xr2:uid="{6D99A699-5B86-A342-9EDA-8527055715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3" i="1" l="1"/>
  <c r="V12" i="1"/>
  <c r="U12" i="1"/>
  <c r="T12" i="1"/>
  <c r="H3" i="1"/>
  <c r="H5" i="1"/>
  <c r="H4" i="1"/>
</calcChain>
</file>

<file path=xl/sharedStrings.xml><?xml version="1.0" encoding="utf-8"?>
<sst xmlns="http://schemas.openxmlformats.org/spreadsheetml/2006/main" count="35" uniqueCount="19">
  <si>
    <t>Initial Value</t>
  </si>
  <si>
    <t>Tank Samples (Day 3 and 7)</t>
  </si>
  <si>
    <t>Field Samples (Day 0)</t>
  </si>
  <si>
    <t>Total Samples</t>
  </si>
  <si>
    <t>Longitudinal genotype presence at both days 3 and 7</t>
  </si>
  <si>
    <t>Day 0</t>
  </si>
  <si>
    <t>Day 3</t>
  </si>
  <si>
    <t>Day 7</t>
  </si>
  <si>
    <t>Genotypes:</t>
  </si>
  <si>
    <t>H_H</t>
  </si>
  <si>
    <t>D_H</t>
  </si>
  <si>
    <t>D_D</t>
  </si>
  <si>
    <t>Sample:</t>
  </si>
  <si>
    <t>Field Genotypes (Day 0)</t>
  </si>
  <si>
    <t>Tank Genotypes (Day 3 and 7)</t>
  </si>
  <si>
    <t>Homogenate Dose Samples</t>
  </si>
  <si>
    <t>Field</t>
  </si>
  <si>
    <t>-</t>
  </si>
  <si>
    <t>Minimum 1000 reads per sample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</si>
</sst>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C3FAB-0B7D-6545-8E9F-5FC6878117C7}">
  <dimension ref="B2:W13"/>
  <sheetViews>
    <sheetView tabSelected="1" topLeftCell="I1" zoomScale="88" workbookViewId="0">
      <selection activeCell="J5" sqref="J5"/>
    </sheetView>
  </sheetViews>
  <sheetFormatPr baseColWidth="10" defaultRowHeight="16" x14ac:dyDescent="0.2"/>
  <cols>
    <col min="2" max="2" width="25.83203125" style="2" customWidth="1"/>
    <col min="3" max="3" width="17.1640625" style="2" customWidth="1"/>
    <col min="4" max="4" width="16" style="2" customWidth="1"/>
    <col min="5" max="5" width="16.5" style="2" customWidth="1"/>
    <col min="6" max="6" width="15.1640625" style="1" customWidth="1"/>
    <col min="7" max="7" width="19.5" style="1" customWidth="1"/>
    <col min="8" max="11" width="14.33203125" style="1" customWidth="1"/>
  </cols>
  <sheetData>
    <row r="2" spans="2:23" ht="34" x14ac:dyDescent="0.2">
      <c r="B2" s="4"/>
      <c r="C2" s="7" t="s">
        <v>13</v>
      </c>
      <c r="D2" s="10" t="s">
        <v>14</v>
      </c>
      <c r="E2" s="9" t="s">
        <v>15</v>
      </c>
      <c r="F2" s="7" t="s">
        <v>2</v>
      </c>
      <c r="G2" s="7" t="s">
        <v>1</v>
      </c>
      <c r="H2" s="8" t="s">
        <v>3</v>
      </c>
    </row>
    <row r="3" spans="2:23" ht="17" x14ac:dyDescent="0.2">
      <c r="B3" s="6" t="s">
        <v>0</v>
      </c>
      <c r="C3" s="4">
        <v>18</v>
      </c>
      <c r="D3" s="11">
        <v>48</v>
      </c>
      <c r="E3" s="3">
        <v>10</v>
      </c>
      <c r="F3" s="5">
        <v>18</v>
      </c>
      <c r="G3" s="5">
        <v>206</v>
      </c>
      <c r="H3" s="5">
        <f>SUM(E3:G3)</f>
        <v>234</v>
      </c>
    </row>
    <row r="4" spans="2:23" ht="34" x14ac:dyDescent="0.2">
      <c r="B4" s="6" t="s">
        <v>18</v>
      </c>
      <c r="C4" s="4">
        <v>18</v>
      </c>
      <c r="D4" s="12">
        <v>48</v>
      </c>
      <c r="E4" s="3">
        <v>10</v>
      </c>
      <c r="F4" s="5">
        <v>18</v>
      </c>
      <c r="G4" s="5">
        <v>199</v>
      </c>
      <c r="H4" s="5">
        <f>SUM(E4:G4)</f>
        <v>227</v>
      </c>
    </row>
    <row r="5" spans="2:23" ht="34" x14ac:dyDescent="0.2">
      <c r="B5" s="6" t="s">
        <v>4</v>
      </c>
      <c r="C5" s="4">
        <v>16</v>
      </c>
      <c r="D5" s="12">
        <v>46</v>
      </c>
      <c r="E5" s="3">
        <v>10</v>
      </c>
      <c r="F5" s="5">
        <v>16</v>
      </c>
      <c r="G5" s="5">
        <v>195</v>
      </c>
      <c r="H5" s="5">
        <f>SUM(E5:G5)</f>
        <v>221</v>
      </c>
    </row>
    <row r="6" spans="2:23" x14ac:dyDescent="0.2">
      <c r="M6" s="1" t="s">
        <v>8</v>
      </c>
      <c r="N6" s="1"/>
      <c r="O6" s="1"/>
      <c r="P6" s="1"/>
      <c r="Q6" s="1"/>
      <c r="R6" s="1"/>
      <c r="S6" s="1" t="s">
        <v>12</v>
      </c>
      <c r="T6" s="1"/>
      <c r="U6" s="1"/>
      <c r="V6" s="1"/>
      <c r="W6" s="1"/>
    </row>
    <row r="7" spans="2:23" x14ac:dyDescent="0.2">
      <c r="M7" s="5"/>
      <c r="N7" s="5" t="s">
        <v>9</v>
      </c>
      <c r="O7" s="5" t="s">
        <v>10</v>
      </c>
      <c r="P7" s="5" t="s">
        <v>11</v>
      </c>
      <c r="Q7" s="5" t="s">
        <v>16</v>
      </c>
      <c r="R7" s="1"/>
      <c r="S7" s="5"/>
      <c r="T7" s="5" t="s">
        <v>9</v>
      </c>
      <c r="U7" s="5" t="s">
        <v>10</v>
      </c>
      <c r="V7" s="5" t="s">
        <v>11</v>
      </c>
      <c r="W7" s="5" t="s">
        <v>16</v>
      </c>
    </row>
    <row r="8" spans="2:23" x14ac:dyDescent="0.2">
      <c r="M8" s="5" t="s">
        <v>5</v>
      </c>
      <c r="N8" s="13" t="s">
        <v>17</v>
      </c>
      <c r="O8" s="13" t="s">
        <v>17</v>
      </c>
      <c r="P8" s="13" t="s">
        <v>17</v>
      </c>
      <c r="Q8" s="5">
        <v>16</v>
      </c>
      <c r="R8" s="1"/>
      <c r="S8" s="5" t="s">
        <v>5</v>
      </c>
      <c r="T8" s="13" t="s">
        <v>17</v>
      </c>
      <c r="U8" s="13" t="s">
        <v>17</v>
      </c>
      <c r="V8" s="13" t="s">
        <v>17</v>
      </c>
      <c r="W8" s="5">
        <v>16</v>
      </c>
    </row>
    <row r="9" spans="2:23" x14ac:dyDescent="0.2">
      <c r="M9" s="5" t="s">
        <v>6</v>
      </c>
      <c r="N9" s="5">
        <v>42</v>
      </c>
      <c r="O9" s="5">
        <v>11</v>
      </c>
      <c r="P9" s="5">
        <v>34</v>
      </c>
      <c r="Q9" s="13" t="s">
        <v>17</v>
      </c>
      <c r="R9" s="1"/>
      <c r="S9" s="5" t="s">
        <v>6</v>
      </c>
      <c r="T9" s="5">
        <v>42</v>
      </c>
      <c r="U9" s="5">
        <v>11</v>
      </c>
      <c r="V9" s="5">
        <v>35</v>
      </c>
      <c r="W9" s="13" t="s">
        <v>17</v>
      </c>
    </row>
    <row r="10" spans="2:23" x14ac:dyDescent="0.2">
      <c r="M10" s="5" t="s">
        <v>7</v>
      </c>
      <c r="N10" s="5">
        <v>43</v>
      </c>
      <c r="O10" s="5">
        <v>11</v>
      </c>
      <c r="P10" s="5">
        <v>36</v>
      </c>
      <c r="Q10" s="13" t="s">
        <v>17</v>
      </c>
      <c r="R10" s="1"/>
      <c r="S10" s="5" t="s">
        <v>7</v>
      </c>
      <c r="T10" s="5">
        <v>43</v>
      </c>
      <c r="U10" s="5">
        <v>19</v>
      </c>
      <c r="V10" s="5">
        <v>45</v>
      </c>
      <c r="W10" s="13" t="s">
        <v>17</v>
      </c>
    </row>
    <row r="12" spans="2:23" x14ac:dyDescent="0.2">
      <c r="T12">
        <f>SUM(T9:T10)</f>
        <v>85</v>
      </c>
      <c r="U12">
        <f>SUM(U9:U10)</f>
        <v>30</v>
      </c>
      <c r="V12">
        <f>SUM(V9:V10)</f>
        <v>80</v>
      </c>
    </row>
    <row r="13" spans="2:23" x14ac:dyDescent="0.2">
      <c r="U13">
        <f>SUM(T12:U12)</f>
        <v>115</v>
      </c>
    </row>
  </sheetData>
  <pageMargins left="0.7" right="0.7" top="0.75" bottom="0.75" header="0.3" footer="0.3"/>
  <ignoredErrors>
    <ignoredError sqref="H3:H5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Emily Trytten</dc:creator>
  <cp:lastModifiedBy>Emily Trytten</cp:lastModifiedBy>
  <dcterms:created xsi:type="dcterms:W3CDTF">2024-08-08T14:42:59Z</dcterms:created>
  <dcterms:modified xsi:type="dcterms:W3CDTF">2024-08-08T18:56:10Z</dcterms:modified>
</cp:coreProperties>
</file>